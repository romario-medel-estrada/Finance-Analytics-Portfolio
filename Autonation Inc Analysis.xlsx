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r\OneDrive\Documents\"/>
    </mc:Choice>
  </mc:AlternateContent>
  <xr:revisionPtr revIDLastSave="0" documentId="13_ncr:1_{06746668-7B94-4B27-9A05-9030A0907E8E}" xr6:coauthVersionLast="47" xr6:coauthVersionMax="47" xr10:uidLastSave="{00000000-0000-0000-0000-000000000000}"/>
  <bookViews>
    <workbookView xWindow="-98" yWindow="-98" windowWidth="20715" windowHeight="13155" xr2:uid="{3DD31119-9DEF-41D0-AF75-60825BCA8BC8}"/>
  </bookViews>
  <sheets>
    <sheet name="Financials" sheetId="3" r:id="rId1"/>
    <sheet name="Trailing Performance" sheetId="1" r:id="rId2"/>
  </sheets>
  <definedNames>
    <definedName name="_xlnm.Print_Titles" localSheetId="0">Financials!#REF!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R4" i="1"/>
  <c r="O1" i="1"/>
  <c r="R1" i="1" s="1"/>
  <c r="N1" i="1"/>
  <c r="Q1" i="1" s="1"/>
  <c r="G32" i="3"/>
  <c r="F32" i="3"/>
  <c r="E32" i="3"/>
  <c r="D32" i="3"/>
  <c r="C32" i="3"/>
  <c r="B32" i="3"/>
  <c r="G19" i="3"/>
  <c r="F19" i="3"/>
  <c r="E19" i="3"/>
  <c r="D19" i="3"/>
  <c r="C19" i="3"/>
  <c r="G6" i="3"/>
  <c r="F6" i="3"/>
  <c r="E6" i="3"/>
  <c r="D6" i="3"/>
  <c r="C6" i="3"/>
  <c r="G3" i="3"/>
  <c r="F3" i="3"/>
  <c r="E3" i="3"/>
  <c r="D3" i="3"/>
  <c r="C3" i="3"/>
  <c r="G5" i="1"/>
  <c r="E5" i="1"/>
  <c r="C5" i="1"/>
  <c r="G4" i="1"/>
  <c r="E4" i="1"/>
  <c r="C4" i="1"/>
  <c r="F3" i="1"/>
  <c r="G3" i="1" s="1"/>
  <c r="E3" i="1"/>
  <c r="C3" i="1"/>
  <c r="G1" i="1"/>
</calcChain>
</file>

<file path=xl/sharedStrings.xml><?xml version="1.0" encoding="utf-8"?>
<sst xmlns="http://schemas.openxmlformats.org/spreadsheetml/2006/main" count="96" uniqueCount="46">
  <si>
    <t>Auto Nation</t>
  </si>
  <si>
    <t>Consumer Cyclical Sector</t>
  </si>
  <si>
    <t>S&amp;P 500</t>
  </si>
  <si>
    <t>1 Year Trailing Performance</t>
  </si>
  <si>
    <t>AutoNation</t>
  </si>
  <si>
    <t>Auto &amp; Truck Dealerships</t>
  </si>
  <si>
    <t xml:space="preserve">3-Month Trailing Performance </t>
  </si>
  <si>
    <t xml:space="preserve">For the Fiscal Period Ending
</t>
  </si>
  <si>
    <t>Returns</t>
  </si>
  <si>
    <t xml:space="preserve">
2020</t>
  </si>
  <si>
    <t xml:space="preserve">
2021</t>
  </si>
  <si>
    <t xml:space="preserve">
2022</t>
  </si>
  <si>
    <t xml:space="preserve">
2023</t>
  </si>
  <si>
    <t xml:space="preserve">
2024</t>
  </si>
  <si>
    <t xml:space="preserve">
Sep-30-2025</t>
  </si>
  <si>
    <t xml:space="preserve">  Total Revenue</t>
  </si>
  <si>
    <t>Revenue Growth</t>
  </si>
  <si>
    <t>Cost Of Goods Sold</t>
  </si>
  <si>
    <t xml:space="preserve">  Gross Profit</t>
  </si>
  <si>
    <t>gross profit growth</t>
  </si>
  <si>
    <t xml:space="preserve">  Operating Income</t>
  </si>
  <si>
    <t>Interest Expense</t>
  </si>
  <si>
    <t>Interest and Invest. Income</t>
  </si>
  <si>
    <t>-</t>
  </si>
  <si>
    <t xml:space="preserve">  Net Interest Exp.</t>
  </si>
  <si>
    <t xml:space="preserve">  Net Income</t>
  </si>
  <si>
    <t>Basic EPS</t>
  </si>
  <si>
    <t>Diluted EPS</t>
  </si>
  <si>
    <t>EBITDA</t>
  </si>
  <si>
    <t xml:space="preserve">
               </t>
  </si>
  <si>
    <t>Growth</t>
  </si>
  <si>
    <t xml:space="preserve">  Net Change in Cash</t>
  </si>
  <si>
    <t xml:space="preserve"> Cash from Operations</t>
  </si>
  <si>
    <t>Capital Expenditure</t>
  </si>
  <si>
    <t>Free Cash Flow</t>
  </si>
  <si>
    <t>For the Fiscal Period Ending</t>
  </si>
  <si>
    <t>Industry</t>
  </si>
  <si>
    <t>ROA</t>
  </si>
  <si>
    <t>ROE</t>
  </si>
  <si>
    <t>ROIC</t>
  </si>
  <si>
    <t>P/E</t>
  </si>
  <si>
    <t>P/B</t>
  </si>
  <si>
    <t>Adjusted-Returns for AutoNation</t>
  </si>
  <si>
    <t>Current ratio</t>
  </si>
  <si>
    <t>Quick Ratio</t>
  </si>
  <si>
    <t>Debt-to-Equity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</si>
</sst>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_);_(* \(#,##0.0\)_)\ ;_(* 0_)"/>
    <numFmt numFmtId="165" formatCode="_(&quot;$&quot;#,##0.0#_);_(\(&quot;$&quot;#,##0.0#\)_);_(&quot;$&quot;&quot; - &quot;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u val="double"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38">
    <xf numFmtId="0" fontId="0" fillId="0" borderId="0" xfId="0"/>
    <xf numFmtId="10" fontId="0" fillId="0" borderId="0" xfId="0" applyNumberFormat="1"/>
    <xf numFmtId="10" fontId="2" fillId="0" borderId="1" xfId="1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0" fontId="2" fillId="2" borderId="1" xfId="1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0" xfId="0" applyFont="1" applyFill="1"/>
    <xf numFmtId="0" fontId="3" fillId="0" borderId="0" xfId="2" applyFont="1" applyAlignment="1">
      <alignment horizontal="right" vertical="center"/>
    </xf>
    <xf numFmtId="0" fontId="4" fillId="0" borderId="0" xfId="2" applyFont="1" applyAlignment="1">
      <alignment horizontal="left" vertical="top"/>
    </xf>
    <xf numFmtId="164" fontId="4" fillId="0" borderId="2" xfId="2" applyNumberFormat="1" applyFont="1" applyBorder="1" applyAlignment="1">
      <alignment horizontal="right" vertical="top" wrapText="1"/>
    </xf>
    <xf numFmtId="0" fontId="3" fillId="0" borderId="0" xfId="2" applyFont="1"/>
    <xf numFmtId="164" fontId="4" fillId="0" borderId="0" xfId="2" applyNumberFormat="1" applyFont="1" applyAlignment="1">
      <alignment horizontal="right" vertical="top" wrapText="1"/>
    </xf>
    <xf numFmtId="10" fontId="4" fillId="0" borderId="0" xfId="3" applyNumberFormat="1" applyFont="1" applyBorder="1" applyAlignment="1">
      <alignment horizontal="right" vertical="top" wrapText="1"/>
    </xf>
    <xf numFmtId="0" fontId="5" fillId="0" borderId="0" xfId="2" applyFont="1" applyAlignment="1">
      <alignment horizontal="left" vertical="top"/>
    </xf>
    <xf numFmtId="164" fontId="5" fillId="0" borderId="0" xfId="2" applyNumberFormat="1" applyFont="1" applyAlignment="1">
      <alignment horizontal="right" vertical="top" wrapText="1"/>
    </xf>
    <xf numFmtId="164" fontId="7" fillId="0" borderId="2" xfId="2" applyNumberFormat="1" applyFont="1" applyBorder="1" applyAlignment="1">
      <alignment horizontal="right" vertical="top" wrapText="1"/>
    </xf>
    <xf numFmtId="165" fontId="5" fillId="0" borderId="0" xfId="2" applyNumberFormat="1" applyFont="1" applyAlignment="1">
      <alignment horizontal="right" vertical="top" wrapText="1"/>
    </xf>
    <xf numFmtId="0" fontId="5" fillId="0" borderId="0" xfId="2" applyFont="1" applyAlignment="1">
      <alignment horizontal="center" vertical="center"/>
    </xf>
    <xf numFmtId="10" fontId="3" fillId="0" borderId="0" xfId="3" applyNumberFormat="1" applyFont="1"/>
    <xf numFmtId="0" fontId="5" fillId="0" borderId="0" xfId="2" applyFont="1" applyAlignment="1">
      <alignment vertical="top"/>
    </xf>
    <xf numFmtId="164" fontId="4" fillId="0" borderId="2" xfId="2" applyNumberFormat="1" applyFont="1" applyBorder="1" applyAlignment="1">
      <alignment horizontal="center" vertical="center" wrapText="1"/>
    </xf>
    <xf numFmtId="164" fontId="5" fillId="0" borderId="0" xfId="2" applyNumberFormat="1" applyFont="1" applyAlignment="1">
      <alignment horizontal="center" vertical="center" wrapText="1"/>
    </xf>
    <xf numFmtId="164" fontId="3" fillId="0" borderId="0" xfId="2" applyNumberFormat="1" applyFont="1" applyAlignment="1">
      <alignment horizontal="center" vertical="center"/>
    </xf>
    <xf numFmtId="0" fontId="4" fillId="3" borderId="0" xfId="2" applyFont="1" applyFill="1" applyAlignment="1">
      <alignment horizontal="left" vertical="center"/>
    </xf>
    <xf numFmtId="0" fontId="4" fillId="3" borderId="0" xfId="2" applyFont="1" applyFill="1" applyAlignment="1">
      <alignment horizontal="right" vertical="top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0" fontId="2" fillId="3" borderId="1" xfId="0" applyFont="1" applyFill="1" applyBorder="1"/>
    <xf numFmtId="10" fontId="2" fillId="0" borderId="1" xfId="1" applyNumberFormat="1" applyFont="1" applyBorder="1"/>
    <xf numFmtId="10" fontId="2" fillId="0" borderId="0" xfId="1" applyNumberFormat="1" applyFont="1" applyBorder="1"/>
    <xf numFmtId="0" fontId="2" fillId="3" borderId="3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2" fillId="2" borderId="3" xfId="0" applyFont="1" applyFill="1" applyBorder="1" applyAlignment="1">
      <alignment horizontal="center"/>
    </xf>
    <xf numFmtId="10" fontId="2" fillId="2" borderId="3" xfId="0" applyNumberFormat="1" applyFont="1" applyFill="1" applyBorder="1" applyAlignment="1">
      <alignment horizontal="center"/>
    </xf>
    <xf numFmtId="0" fontId="2" fillId="3" borderId="4" xfId="0" applyFont="1" applyFill="1" applyBorder="1"/>
  </cellXfs>
  <cellStyles count="4">
    <cellStyle name="Normal" xfId="0" builtinId="0"/>
    <cellStyle name="Normal 2" xfId="2" xr:uid="{A6641680-0D16-4053-841C-853F832B6480}"/>
    <cellStyle name="Percent" xfId="1" builtinId="5"/>
    <cellStyle name="Percent 2" xfId="3" xr:uid="{C87095AE-FF39-4EB9-A128-8803548FFA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 Revenue</a:t>
            </a:r>
          </a:p>
        </c:rich>
      </c:tx>
      <c:layout>
        <c:manualLayout>
          <c:xMode val="edge"/>
          <c:yMode val="edge"/>
          <c:x val="0.41043749032138427"/>
          <c:y val="1.3889128412262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86543236149536"/>
          <c:y val="0.10083088719057029"/>
          <c:w val="0.81435979286372984"/>
          <c:h val="0.642962868739664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Financials!$A$2</c:f>
              <c:strCache>
                <c:ptCount val="1"/>
                <c:pt idx="0">
                  <c:v>  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0645407148140529E-17"/>
                  <c:y val="-0.255072386147092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65-411E-8666-1FD3D6749BEC}"/>
                </c:ext>
              </c:extLst>
            </c:dLbl>
            <c:dLbl>
              <c:idx val="1"/>
              <c:layout>
                <c:manualLayout>
                  <c:x val="2.2522522522522522E-3"/>
                  <c:y val="-0.3091786498752634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65-411E-8666-1FD3D6749BEC}"/>
                </c:ext>
              </c:extLst>
            </c:dLbl>
            <c:dLbl>
              <c:idx val="2"/>
              <c:layout>
                <c:manualLayout>
                  <c:x val="-2.2522522522523346E-3"/>
                  <c:y val="-0.3246375823690266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65-411E-8666-1FD3D6749BEC}"/>
                </c:ext>
              </c:extLst>
            </c:dLbl>
            <c:dLbl>
              <c:idx val="3"/>
              <c:layout>
                <c:manualLayout>
                  <c:x val="-2.2522522522522522E-3"/>
                  <c:y val="-0.3285023154924674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65-411E-8666-1FD3D6749BEC}"/>
                </c:ext>
              </c:extLst>
            </c:dLbl>
            <c:dLbl>
              <c:idx val="4"/>
              <c:layout>
                <c:manualLayout>
                  <c:x val="2.2522522522522522E-3"/>
                  <c:y val="-0.320772849245585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65-411E-8666-1FD3D6749BEC}"/>
                </c:ext>
              </c:extLst>
            </c:dLbl>
            <c:dLbl>
              <c:idx val="5"/>
              <c:layout>
                <c:manualLayout>
                  <c:x val="-2.2522522522522522E-3"/>
                  <c:y val="-0.332367048615908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65-411E-8666-1FD3D6749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Financials!$B$1:$G$1</c:f>
              <c:strCache>
                <c:ptCount val="6"/>
                <c:pt idx="0">
                  <c:v>
2020</c:v>
                </c:pt>
                <c:pt idx="1">
                  <c:v>
2021</c:v>
                </c:pt>
                <c:pt idx="2">
                  <c:v>
2022</c:v>
                </c:pt>
                <c:pt idx="3">
                  <c:v>
2023</c:v>
                </c:pt>
                <c:pt idx="4">
                  <c:v>
2024</c:v>
                </c:pt>
                <c:pt idx="5">
                  <c:v>
Sep-30-2025</c:v>
                </c:pt>
              </c:strCache>
            </c:strRef>
          </c:cat>
          <c:val>
            <c:numRef>
              <c:f>Financials!$B$2:$G$2</c:f>
              <c:numCache>
                <c:formatCode>_(* #,##0.0_);_(* \(#,##0.0\)_)\ ;_(* 0_)</c:formatCode>
                <c:ptCount val="6"/>
                <c:pt idx="0">
                  <c:v>20390</c:v>
                </c:pt>
                <c:pt idx="1">
                  <c:v>25844</c:v>
                </c:pt>
                <c:pt idx="2">
                  <c:v>26985</c:v>
                </c:pt>
                <c:pt idx="3">
                  <c:v>26948.9</c:v>
                </c:pt>
                <c:pt idx="4">
                  <c:v>26765.4</c:v>
                </c:pt>
                <c:pt idx="5">
                  <c:v>27915.4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65-411E-8666-1FD3D6749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2363280"/>
        <c:axId val="1"/>
      </c:barChart>
      <c:catAx>
        <c:axId val="1172363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layout>
            <c:manualLayout>
              <c:xMode val="edge"/>
              <c:yMode val="edge"/>
              <c:x val="0.44732477282922095"/>
              <c:y val="0.91418336396711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millions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Financials!$A$18</c:f>
              <c:strCache>
                <c:ptCount val="1"/>
                <c:pt idx="0">
                  <c:v>  Net 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Financials!$B$17:$G$17</c:f>
              <c:strCache>
                <c:ptCount val="6"/>
                <c:pt idx="0">
                  <c:v>
2020</c:v>
                </c:pt>
                <c:pt idx="1">
                  <c:v>
2021</c:v>
                </c:pt>
                <c:pt idx="2">
                  <c:v>
2022</c:v>
                </c:pt>
                <c:pt idx="3">
                  <c:v>
2023</c:v>
                </c:pt>
                <c:pt idx="4">
                  <c:v>
2024</c:v>
                </c:pt>
                <c:pt idx="5">
                  <c:v>
Sep-30-2025</c:v>
                </c:pt>
              </c:strCache>
            </c:strRef>
          </c:cat>
          <c:val>
            <c:numRef>
              <c:f>Financials!$B$18:$G$18</c:f>
              <c:numCache>
                <c:formatCode>_(* #,##0.0_);_(* \(#,##0.0\)_)\ ;_(* 0_)</c:formatCode>
                <c:ptCount val="6"/>
                <c:pt idx="0">
                  <c:v>381.6</c:v>
                </c:pt>
                <c:pt idx="1">
                  <c:v>1373</c:v>
                </c:pt>
                <c:pt idx="2">
                  <c:v>1377.4</c:v>
                </c:pt>
                <c:pt idx="3">
                  <c:v>1021.1</c:v>
                </c:pt>
                <c:pt idx="4">
                  <c:v>692.2</c:v>
                </c:pt>
                <c:pt idx="5">
                  <c:v>663.1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6-45BF-B386-B6DD681F6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2365200"/>
        <c:axId val="1"/>
      </c:barChart>
      <c:catAx>
        <c:axId val="117236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layout>
            <c:manualLayout>
              <c:xMode val="edge"/>
              <c:yMode val="edge"/>
              <c:x val="0.4242627601189165"/>
              <c:y val="0.87868052372304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millions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6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Financials!$A$22</c:f>
              <c:strCache>
                <c:ptCount val="1"/>
                <c:pt idx="0">
                  <c:v>  Gross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Financials!$B$21:$G$21</c:f>
              <c:strCache>
                <c:ptCount val="6"/>
                <c:pt idx="0">
                  <c:v>
2020</c:v>
                </c:pt>
                <c:pt idx="1">
                  <c:v>
2021</c:v>
                </c:pt>
                <c:pt idx="2">
                  <c:v>
2022</c:v>
                </c:pt>
                <c:pt idx="3">
                  <c:v>
2023</c:v>
                </c:pt>
                <c:pt idx="4">
                  <c:v>
2024</c:v>
                </c:pt>
                <c:pt idx="5">
                  <c:v>
Sep-30-2025</c:v>
                </c:pt>
              </c:strCache>
            </c:strRef>
          </c:cat>
          <c:val>
            <c:numRef>
              <c:f>Financials!$B$22:$G$22</c:f>
              <c:numCache>
                <c:formatCode>_(* #,##0.0_);_(* \(#,##0.0\)_)\ ;_(* 0_)</c:formatCode>
                <c:ptCount val="6"/>
                <c:pt idx="0">
                  <c:v>3584</c:v>
                </c:pt>
                <c:pt idx="1">
                  <c:v>4952.6000000000004</c:v>
                </c:pt>
                <c:pt idx="2">
                  <c:v>5265.3</c:v>
                </c:pt>
                <c:pt idx="3">
                  <c:v>5131.5</c:v>
                </c:pt>
                <c:pt idx="4">
                  <c:v>4785.3999999999996</c:v>
                </c:pt>
                <c:pt idx="5">
                  <c:v>4975.3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E-4133-9DC0-C94CB527B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2359920"/>
        <c:axId val="1"/>
      </c:barChart>
      <c:catAx>
        <c:axId val="1172359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layout>
            <c:manualLayout>
              <c:xMode val="edge"/>
              <c:yMode val="edge"/>
              <c:x val="0.43983913253480544"/>
              <c:y val="0.8879396755307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millions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5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Financials!$A$25</c:f>
              <c:strCache>
                <c:ptCount val="1"/>
                <c:pt idx="0">
                  <c:v>EBITDA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Financials!$B$24:$G$24</c:f>
              <c:strCache>
                <c:ptCount val="6"/>
                <c:pt idx="0">
                  <c:v>
2020</c:v>
                </c:pt>
                <c:pt idx="1">
                  <c:v>
2021</c:v>
                </c:pt>
                <c:pt idx="2">
                  <c:v>
2022</c:v>
                </c:pt>
                <c:pt idx="3">
                  <c:v>
2023</c:v>
                </c:pt>
                <c:pt idx="4">
                  <c:v>
2024</c:v>
                </c:pt>
                <c:pt idx="5">
                  <c:v>
Sep-30-2025</c:v>
                </c:pt>
              </c:strCache>
            </c:strRef>
          </c:cat>
          <c:val>
            <c:numRef>
              <c:f>Financials!$B$25:$G$25</c:f>
              <c:numCache>
                <c:formatCode>_(* #,##0.0_);_(* \(#,##0.0\)_)\ ;_(* 0_)</c:formatCode>
                <c:ptCount val="6"/>
                <c:pt idx="0">
                  <c:v>1177.4000000000001</c:v>
                </c:pt>
                <c:pt idx="1">
                  <c:v>2082.8000000000002</c:v>
                </c:pt>
                <c:pt idx="2">
                  <c:v>2247.6999999999998</c:v>
                </c:pt>
                <c:pt idx="3">
                  <c:v>1882.4</c:v>
                </c:pt>
                <c:pt idx="4">
                  <c:v>1565.2</c:v>
                </c:pt>
                <c:pt idx="5">
                  <c:v>1667.7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0-4D6A-8423-B5D8CAD0E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2362320"/>
        <c:axId val="1"/>
      </c:barChart>
      <c:catAx>
        <c:axId val="117236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layout>
            <c:manualLayout>
              <c:xMode val="edge"/>
              <c:yMode val="edge"/>
              <c:x val="0.42872818012016112"/>
              <c:y val="0.892569251434638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millions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6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CashFlow</a:t>
            </a:r>
          </a:p>
        </c:rich>
      </c:tx>
      <c:layout>
        <c:manualLayout>
          <c:xMode val="edge"/>
          <c:yMode val="edge"/>
          <c:x val="0.40075682217758252"/>
          <c:y val="3.2407368962751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Financials!$A$30</c:f>
              <c:strCache>
                <c:ptCount val="1"/>
                <c:pt idx="0">
                  <c:v> Cash from Operations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Financials!$B$29:$G$29</c:f>
              <c:strCache>
                <c:ptCount val="6"/>
                <c:pt idx="0">
                  <c:v>
2020</c:v>
                </c:pt>
                <c:pt idx="1">
                  <c:v>
2021</c:v>
                </c:pt>
                <c:pt idx="2">
                  <c:v>
2022</c:v>
                </c:pt>
                <c:pt idx="3">
                  <c:v>
2023</c:v>
                </c:pt>
                <c:pt idx="4">
                  <c:v>
2024</c:v>
                </c:pt>
                <c:pt idx="5">
                  <c:v>
Sep-30-2025</c:v>
                </c:pt>
              </c:strCache>
            </c:strRef>
          </c:cat>
          <c:val>
            <c:numRef>
              <c:f>Financials!$B$30:$G$30</c:f>
              <c:numCache>
                <c:formatCode>_(* #,##0.0_);_(* \(#,##0.0\)_)\ ;_(* 0_)</c:formatCode>
                <c:ptCount val="6"/>
                <c:pt idx="0">
                  <c:v>1207.5999999999999</c:v>
                </c:pt>
                <c:pt idx="1">
                  <c:v>1627.7</c:v>
                </c:pt>
                <c:pt idx="2">
                  <c:v>1668.1</c:v>
                </c:pt>
                <c:pt idx="3">
                  <c:v>724</c:v>
                </c:pt>
                <c:pt idx="4">
                  <c:v>314.7</c:v>
                </c:pt>
                <c:pt idx="5">
                  <c:v>111.2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1-444E-958F-320890C30DE1}"/>
            </c:ext>
          </c:extLst>
        </c:ser>
        <c:ser>
          <c:idx val="1"/>
          <c:order val="1"/>
          <c:tx>
            <c:strRef>
              <c:f>Financials!$A$31</c:f>
              <c:strCache>
                <c:ptCount val="1"/>
                <c:pt idx="0">
                  <c:v>Capital Expenditure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Financials!$B$29:$G$29</c:f>
              <c:strCache>
                <c:ptCount val="6"/>
                <c:pt idx="0">
                  <c:v>
2020</c:v>
                </c:pt>
                <c:pt idx="1">
                  <c:v>
2021</c:v>
                </c:pt>
                <c:pt idx="2">
                  <c:v>
2022</c:v>
                </c:pt>
                <c:pt idx="3">
                  <c:v>
2023</c:v>
                </c:pt>
                <c:pt idx="4">
                  <c:v>
2024</c:v>
                </c:pt>
                <c:pt idx="5">
                  <c:v>
Sep-30-2025</c:v>
                </c:pt>
              </c:strCache>
            </c:strRef>
          </c:cat>
          <c:val>
            <c:numRef>
              <c:f>Financials!$B$31:$G$31</c:f>
              <c:numCache>
                <c:formatCode>_(* #,##0.0_);_(* \(#,##0.0\)_)\ ;_(* 0_)</c:formatCode>
                <c:ptCount val="6"/>
                <c:pt idx="0">
                  <c:v>-156</c:v>
                </c:pt>
                <c:pt idx="1">
                  <c:v>-215.7</c:v>
                </c:pt>
                <c:pt idx="2">
                  <c:v>-329</c:v>
                </c:pt>
                <c:pt idx="3">
                  <c:v>-410.3</c:v>
                </c:pt>
                <c:pt idx="4">
                  <c:v>-328.5</c:v>
                </c:pt>
                <c:pt idx="5">
                  <c:v>-289.39999999999998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1-444E-958F-320890C30DE1}"/>
            </c:ext>
          </c:extLst>
        </c:ser>
        <c:ser>
          <c:idx val="2"/>
          <c:order val="2"/>
          <c:tx>
            <c:strRef>
              <c:f>Financials!$A$32</c:f>
              <c:strCache>
                <c:ptCount val="1"/>
                <c:pt idx="0">
                  <c:v>Free Cash Flow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Financials!$B$29:$G$29</c:f>
              <c:strCache>
                <c:ptCount val="6"/>
                <c:pt idx="0">
                  <c:v>
2020</c:v>
                </c:pt>
                <c:pt idx="1">
                  <c:v>
2021</c:v>
                </c:pt>
                <c:pt idx="2">
                  <c:v>
2022</c:v>
                </c:pt>
                <c:pt idx="3">
                  <c:v>
2023</c:v>
                </c:pt>
                <c:pt idx="4">
                  <c:v>
2024</c:v>
                </c:pt>
                <c:pt idx="5">
                  <c:v>
Sep-30-2025</c:v>
                </c:pt>
              </c:strCache>
            </c:strRef>
          </c:cat>
          <c:val>
            <c:numRef>
              <c:f>Financials!$B$32:$G$32</c:f>
              <c:numCache>
                <c:formatCode>_(* #,##0.0_);_(* \(#,##0.0\)_)\ ;_(* 0_)</c:formatCode>
                <c:ptCount val="6"/>
                <c:pt idx="0">
                  <c:v>1051.5999999999999</c:v>
                </c:pt>
                <c:pt idx="1">
                  <c:v>1412</c:v>
                </c:pt>
                <c:pt idx="2">
                  <c:v>1339.1</c:v>
                </c:pt>
                <c:pt idx="3">
                  <c:v>313.7</c:v>
                </c:pt>
                <c:pt idx="4">
                  <c:v>-13.800000000000011</c:v>
                </c:pt>
                <c:pt idx="5">
                  <c:v>-178.2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D1-444E-958F-320890C30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2368080"/>
        <c:axId val="1"/>
      </c:barChart>
      <c:catAx>
        <c:axId val="117236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layout>
            <c:manualLayout>
              <c:xMode val="edge"/>
              <c:yMode val="edge"/>
              <c:x val="0.53012056303330435"/>
              <c:y val="0.56562224706054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millions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68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29112809344001"/>
          <c:y val="0.15354699666999838"/>
          <c:w val="0.77422440944881887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Financials!$B$33:$F$33</c:f>
              <c:strCache>
                <c:ptCount val="5"/>
                <c:pt idx="0">
                  <c:v>
2021</c:v>
                </c:pt>
                <c:pt idx="1">
                  <c:v>
2022</c:v>
                </c:pt>
                <c:pt idx="2">
                  <c:v>
2023</c:v>
                </c:pt>
                <c:pt idx="3">
                  <c:v>
2024</c:v>
                </c:pt>
                <c:pt idx="4">
                  <c:v>
Sep-30-2025</c:v>
                </c:pt>
              </c:strCache>
            </c:strRef>
          </c:xVal>
          <c:yVal>
            <c:numRef>
              <c:f>Financials!$B$34:$F$34</c:f>
              <c:numCache>
                <c:formatCode>0.00%</c:formatCode>
                <c:ptCount val="5"/>
                <c:pt idx="0">
                  <c:v>2.5980083857442344</c:v>
                </c:pt>
                <c:pt idx="1">
                  <c:v>3.2046613255645173E-3</c:v>
                </c:pt>
                <c:pt idx="2">
                  <c:v>-0.25867576593582109</c:v>
                </c:pt>
                <c:pt idx="3">
                  <c:v>-0.3221036137498775</c:v>
                </c:pt>
                <c:pt idx="4">
                  <c:v>-4.2039872869113037E-2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CB-460A-B5D5-106558C5F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311920"/>
        <c:axId val="1"/>
      </c:scatterChart>
      <c:valAx>
        <c:axId val="11723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                     2021	               2022	        2023	2024                        Sep-30-20205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11920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Financials!$C$1:$G$1</c:f>
              <c:strCache>
                <c:ptCount val="5"/>
                <c:pt idx="0">
                  <c:v>
2021</c:v>
                </c:pt>
                <c:pt idx="1">
                  <c:v>
2022</c:v>
                </c:pt>
                <c:pt idx="2">
                  <c:v>
2023</c:v>
                </c:pt>
                <c:pt idx="3">
                  <c:v>
2024</c:v>
                </c:pt>
                <c:pt idx="4">
                  <c:v>
Sep-30-2025</c:v>
                </c:pt>
              </c:strCache>
            </c:strRef>
          </c:xVal>
          <c:yVal>
            <c:numRef>
              <c:f>Financials!$C$3:$G$3</c:f>
              <c:numCache>
                <c:formatCode>0.00%</c:formatCode>
                <c:ptCount val="5"/>
                <c:pt idx="0">
                  <c:v>0.26748406081412468</c:v>
                </c:pt>
                <c:pt idx="1">
                  <c:v>4.4149512459371598E-2</c:v>
                </c:pt>
                <c:pt idx="2">
                  <c:v>-1.3377802482860135E-3</c:v>
                </c:pt>
                <c:pt idx="3">
                  <c:v>-6.8091833061831863E-3</c:v>
                </c:pt>
                <c:pt idx="4">
                  <c:v>4.2965918686064919E-2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B-41B2-8C9C-F57405A55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305680"/>
        <c:axId val="1"/>
      </c:scatterChart>
      <c:valAx>
        <c:axId val="117230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        2021	        2022	        2023	         2024	Sep-30-2025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0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Profit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1"/>
              <c:layout>
                <c:manualLayout>
                  <c:x val="-2.2034776902887139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DE-46D3-B787-0E48AC61C1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Financials!$C$6:$G$6</c:f>
              <c:numCache>
                <c:formatCode>0.00%</c:formatCode>
                <c:ptCount val="5"/>
                <c:pt idx="0">
                  <c:v>0.38186383928571432</c:v>
                </c:pt>
                <c:pt idx="1">
                  <c:v>6.3138553487057214E-2</c:v>
                </c:pt>
                <c:pt idx="2">
                  <c:v>-2.5411657455415626E-2</c:v>
                </c:pt>
                <c:pt idx="3">
                  <c:v>-6.7446165838448868E-2</c:v>
                </c:pt>
                <c:pt idx="4">
                  <c:v>3.9683203076023021E-2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E-46D3-B787-0E48AC61C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314320"/>
        <c:axId val="1"/>
      </c:scatterChart>
      <c:valAx>
        <c:axId val="117231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        2021	 2022                        2023              2024            Sep-30-2025</a:t>
                </a:r>
              </a:p>
            </c:rich>
          </c:tx>
          <c:layout>
            <c:manualLayout>
              <c:xMode val="edge"/>
              <c:yMode val="edge"/>
              <c:x val="0.16219848621383187"/>
              <c:y val="0.89796517448491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1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3-month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'Trailing Performance'!$B$1</c:f>
              <c:strCache>
                <c:ptCount val="1"/>
                <c:pt idx="0">
                  <c:v>Returns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-3.7651478643237067E-3"/>
                  <c:y val="-2.86298568507157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88-4ACC-88D3-240FC1D8C6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'Trailing Performance'!$A$2:$A$5</c:f>
              <c:strCache>
                <c:ptCount val="4"/>
                <c:pt idx="0">
                  <c:v>Auto Nation</c:v>
                </c:pt>
                <c:pt idx="1">
                  <c:v>Consumer Cyclical Sector</c:v>
                </c:pt>
                <c:pt idx="2">
                  <c:v>Auto &amp; Truck Dealerships</c:v>
                </c:pt>
                <c:pt idx="3">
                  <c:v>S&amp;P 500</c:v>
                </c:pt>
              </c:strCache>
            </c:strRef>
          </c:cat>
          <c:val>
            <c:numRef>
              <c:f>'Trailing Performance'!$B$2:$B$5</c:f>
              <c:numCache>
                <c:formatCode>0.00%</c:formatCode>
                <c:ptCount val="4"/>
                <c:pt idx="0">
                  <c:v>-0.03</c:v>
                </c:pt>
                <c:pt idx="1">
                  <c:v>5.5E-2</c:v>
                </c:pt>
                <c:pt idx="2">
                  <c:v>-1.0999999999999999E-2</c:v>
                </c:pt>
                <c:pt idx="3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8-4ACC-88D3-240FC1D8C60F}"/>
            </c:ext>
          </c:extLst>
        </c:ser>
        <c:ser>
          <c:idx val="1"/>
          <c:order val="1"/>
          <c:tx>
            <c:strRef>
              <c:f>'Trailing Performance'!$C$1</c:f>
              <c:strCache>
                <c:ptCount val="1"/>
                <c:pt idx="0">
                  <c:v>Adjusted-Returns for AutoNation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'Trailing Performance'!$A$2:$A$5</c:f>
              <c:strCache>
                <c:ptCount val="4"/>
                <c:pt idx="0">
                  <c:v>Auto Nation</c:v>
                </c:pt>
                <c:pt idx="1">
                  <c:v>Consumer Cyclical Sector</c:v>
                </c:pt>
                <c:pt idx="2">
                  <c:v>Auto &amp; Truck Dealerships</c:v>
                </c:pt>
                <c:pt idx="3">
                  <c:v>S&amp;P 500</c:v>
                </c:pt>
              </c:strCache>
            </c:strRef>
          </c:cat>
          <c:val>
            <c:numRef>
              <c:f>'Trailing Performance'!$C$2:$C$5</c:f>
              <c:numCache>
                <c:formatCode>0.00%</c:formatCode>
                <c:ptCount val="4"/>
                <c:pt idx="1">
                  <c:v>-8.4999999999999992E-2</c:v>
                </c:pt>
                <c:pt idx="2">
                  <c:v>-1.9E-2</c:v>
                </c:pt>
                <c:pt idx="3">
                  <c:v>-0.109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88-4ACC-88D3-240FC1D8C6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17338848"/>
        <c:axId val="1317324448"/>
      </c:barChart>
      <c:catAx>
        <c:axId val="131733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24448"/>
        <c:crosses val="autoZero"/>
        <c:auto val="1"/>
        <c:lblAlgn val="ctr"/>
        <c:lblOffset val="100"/>
        <c:noMultiLvlLbl val="0"/>
      </c:catAx>
      <c:valAx>
        <c:axId val="13173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1-Year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'Trailing Performance'!$F$1</c:f>
              <c:strCache>
                <c:ptCount val="1"/>
                <c:pt idx="0">
                  <c:v>Returns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'Trailing Performance'!$E$2:$E$5</c:f>
              <c:strCache>
                <c:ptCount val="4"/>
                <c:pt idx="0">
                  <c:v>AutoNation</c:v>
                </c:pt>
                <c:pt idx="1">
                  <c:v>Consumer Cyclical Sector</c:v>
                </c:pt>
                <c:pt idx="2">
                  <c:v>Auto &amp; Truck Dealerships</c:v>
                </c:pt>
                <c:pt idx="3">
                  <c:v>S&amp;P 500</c:v>
                </c:pt>
              </c:strCache>
            </c:strRef>
          </c:cat>
          <c:val>
            <c:numRef>
              <c:f>'Trailing Performance'!$F$2:$F$5</c:f>
              <c:numCache>
                <c:formatCode>0.00%</c:formatCode>
                <c:ptCount val="4"/>
                <c:pt idx="0">
                  <c:v>0.26569999999999999</c:v>
                </c:pt>
                <c:pt idx="1">
                  <c:v>0.22459999999999999</c:v>
                </c:pt>
                <c:pt idx="2">
                  <c:v>4.5100000000000001E-2</c:v>
                </c:pt>
                <c:pt idx="3">
                  <c:v>0.18640000000000001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8-43A9-A173-FF3B19218021}"/>
            </c:ext>
          </c:extLst>
        </c:ser>
        <c:ser>
          <c:idx val="1"/>
          <c:order val="1"/>
          <c:tx>
            <c:strRef>
              <c:f>'Trailing Performance'!$G$1</c:f>
              <c:strCache>
                <c:ptCount val="1"/>
                <c:pt idx="0">
                  <c:v>Adjusted-Returns for AutoNation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'Trailing Performance'!$E$2:$E$5</c:f>
              <c:strCache>
                <c:ptCount val="4"/>
                <c:pt idx="0">
                  <c:v>AutoNation</c:v>
                </c:pt>
                <c:pt idx="1">
                  <c:v>Consumer Cyclical Sector</c:v>
                </c:pt>
                <c:pt idx="2">
                  <c:v>Auto &amp; Truck Dealerships</c:v>
                </c:pt>
                <c:pt idx="3">
                  <c:v>S&amp;P 500</c:v>
                </c:pt>
              </c:strCache>
            </c:strRef>
          </c:cat>
          <c:val>
            <c:numRef>
              <c:f>'Trailing Performance'!$G$2:$G$5</c:f>
              <c:numCache>
                <c:formatCode>0.00%</c:formatCode>
                <c:ptCount val="4"/>
                <c:pt idx="1">
                  <c:v>4.1099999999999998E-2</c:v>
                </c:pt>
                <c:pt idx="2">
                  <c:v>0.22059999999999999</c:v>
                </c:pt>
                <c:pt idx="3">
                  <c:v>7.9299999999999982E-2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8-43A9-A173-FF3B192180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17352288"/>
        <c:axId val="1317352768"/>
      </c:barChart>
      <c:catAx>
        <c:axId val="13173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52768"/>
        <c:crosses val="autoZero"/>
        <c:auto val="1"/>
        <c:lblAlgn val="ctr"/>
        <c:lblOffset val="100"/>
        <c:noMultiLvlLbl val="0"/>
      </c:catAx>
      <c:valAx>
        <c:axId val="131735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5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914260717410323E-2"/>
          <c:y val="0.18097222222222226"/>
          <c:w val="0.90297462817147855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'Trailing Performance'!$N$1</c:f>
              <c:strCache>
                <c:ptCount val="1"/>
                <c:pt idx="0">
                  <c:v>AutoNation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'Trailing Performance'!$M$2:$M$3</c:f>
              <c:strCache>
                <c:ptCount val="2"/>
                <c:pt idx="0">
                  <c:v>P/E</c:v>
                </c:pt>
                <c:pt idx="1">
                  <c:v>P/B</c:v>
                </c:pt>
              </c:strCache>
            </c:strRef>
          </c:cat>
          <c:val>
            <c:numRef>
              <c:f>'Trailing Performance'!$N$2:$N$3</c:f>
              <c:numCache>
                <c:formatCode>General</c:formatCode>
                <c:ptCount val="2"/>
                <c:pt idx="0">
                  <c:v>13.26</c:v>
                </c:pt>
                <c:pt idx="1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0-4E2E-B7ED-F5197D81674C}"/>
            </c:ext>
          </c:extLst>
        </c:ser>
        <c:ser>
          <c:idx val="1"/>
          <c:order val="1"/>
          <c:tx>
            <c:strRef>
              <c:f>'Trailing Performance'!$O$1</c:f>
              <c:strCache>
                <c:ptCount val="1"/>
                <c:pt idx="0">
                  <c:v>Industry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'Trailing Performance'!$M$2:$M$3</c:f>
              <c:strCache>
                <c:ptCount val="2"/>
                <c:pt idx="0">
                  <c:v>P/E</c:v>
                </c:pt>
                <c:pt idx="1">
                  <c:v>P/B</c:v>
                </c:pt>
              </c:strCache>
            </c:strRef>
          </c:cat>
          <c:val>
            <c:numRef>
              <c:f>'Trailing Performance'!$O$2:$O$3</c:f>
              <c:numCache>
                <c:formatCode>General</c:formatCode>
                <c:ptCount val="2"/>
                <c:pt idx="0">
                  <c:v>19.600000000000001</c:v>
                </c:pt>
                <c:pt idx="1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0-4E2E-B7ED-F5197D8167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43262751"/>
        <c:axId val="1943270911"/>
      </c:barChart>
      <c:catAx>
        <c:axId val="194326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70911"/>
        <c:crosses val="autoZero"/>
        <c:auto val="1"/>
        <c:lblAlgn val="ctr"/>
        <c:lblOffset val="100"/>
        <c:noMultiLvlLbl val="0"/>
      </c:catAx>
      <c:valAx>
        <c:axId val="194327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6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Liquidity</a:t>
            </a:r>
          </a:p>
        </c:rich>
      </c:tx>
      <c:layout>
        <c:manualLayout>
          <c:xMode val="edge"/>
          <c:yMode val="edge"/>
          <c:x val="0.378215223097112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'Trailing Performance'!$Q$1</c:f>
              <c:strCache>
                <c:ptCount val="1"/>
                <c:pt idx="0">
                  <c:v>AutoNation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'Trailing Performance'!$P$2:$P$4</c:f>
              <c:strCache>
                <c:ptCount val="3"/>
                <c:pt idx="0">
                  <c:v>Current ratio</c:v>
                </c:pt>
                <c:pt idx="1">
                  <c:v>Quick Ratio</c:v>
                </c:pt>
                <c:pt idx="2">
                  <c:v>Debt-to-Equity</c:v>
                </c:pt>
              </c:strCache>
            </c:strRef>
          </c:cat>
          <c:val>
            <c:numRef>
              <c:f>'Trailing Performance'!$Q$2:$Q$4</c:f>
              <c:numCache>
                <c:formatCode>General</c:formatCode>
                <c:ptCount val="3"/>
                <c:pt idx="0">
                  <c:v>0.8</c:v>
                </c:pt>
                <c:pt idx="1">
                  <c:v>0.2</c:v>
                </c:pt>
                <c:pt idx="2">
                  <c:v>3.9039999999999999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9-4978-8B5F-6151B7B01850}"/>
            </c:ext>
          </c:extLst>
        </c:ser>
        <c:ser>
          <c:idx val="1"/>
          <c:order val="1"/>
          <c:tx>
            <c:strRef>
              <c:f>'Trailing Performance'!$R$1</c:f>
              <c:strCache>
                <c:ptCount val="1"/>
                <c:pt idx="0">
                  <c:v>Industry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'Trailing Performance'!$P$2:$P$4</c:f>
              <c:strCache>
                <c:ptCount val="3"/>
                <c:pt idx="0">
                  <c:v>Current ratio</c:v>
                </c:pt>
                <c:pt idx="1">
                  <c:v>Quick Ratio</c:v>
                </c:pt>
                <c:pt idx="2">
                  <c:v>Debt-to-Equity</c:v>
                </c:pt>
              </c:strCache>
            </c:strRef>
          </c:cat>
          <c:val>
            <c:numRef>
              <c:f>'Trailing Performance'!$R$2:$R$4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1.3</c:v>
                </c:pt>
                <c:pt idx="2">
                  <c:v>1.4609999999999999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F9-4978-8B5F-6151B7B018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8504015"/>
        <c:axId val="1928507855"/>
      </c:barChart>
      <c:catAx>
        <c:axId val="192850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07855"/>
        <c:crosses val="autoZero"/>
        <c:auto val="1"/>
        <c:lblAlgn val="ctr"/>
        <c:lblOffset val="100"/>
        <c:noMultiLvlLbl val="0"/>
      </c:catAx>
      <c:valAx>
        <c:axId val="192850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0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'Trailing Performance'!$J$1</c:f>
              <c:strCache>
                <c:ptCount val="1"/>
                <c:pt idx="0">
                  <c:v>AutoNation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'Trailing Performance'!$I$2:$I$4</c:f>
              <c:strCache>
                <c:ptCount val="3"/>
                <c:pt idx="0">
                  <c:v>ROA</c:v>
                </c:pt>
                <c:pt idx="1">
                  <c:v>ROE</c:v>
                </c:pt>
                <c:pt idx="2">
                  <c:v>ROIC</c:v>
                </c:pt>
              </c:strCache>
            </c:strRef>
          </c:cat>
          <c:val>
            <c:numRef>
              <c:f>'Trailing Performance'!$J$2:$J$4</c:f>
              <c:numCache>
                <c:formatCode>0.00%</c:formatCode>
                <c:ptCount val="3"/>
                <c:pt idx="0">
                  <c:v>6.5000000000000002E-2</c:v>
                </c:pt>
                <c:pt idx="1">
                  <c:v>0.27200000000000002</c:v>
                </c:pt>
                <c:pt idx="2">
                  <c:v>7.5999999999999998E-2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5-420E-877F-9CEE8D8E524C}"/>
            </c:ext>
          </c:extLst>
        </c:ser>
        <c:ser>
          <c:idx val="1"/>
          <c:order val="1"/>
          <c:tx>
            <c:strRef>
              <c:f>'Trailing Performance'!$K$1</c:f>
              <c:strCache>
                <c:ptCount val="1"/>
                <c:pt idx="0">
                  <c:v>Industry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'Trailing Performance'!$I$2:$I$4</c:f>
              <c:strCache>
                <c:ptCount val="3"/>
                <c:pt idx="0">
                  <c:v>ROA</c:v>
                </c:pt>
                <c:pt idx="1">
                  <c:v>ROE</c:v>
                </c:pt>
                <c:pt idx="2">
                  <c:v>ROIC</c:v>
                </c:pt>
              </c:strCache>
            </c:strRef>
          </c:cat>
          <c:val>
            <c:numRef>
              <c:f>'Trailing Performance'!$K$2:$K$4</c:f>
              <c:numCache>
                <c:formatCode>0.00%</c:formatCode>
                <c:ptCount val="3"/>
                <c:pt idx="0">
                  <c:v>4.2000000000000003E-2</c:v>
                </c:pt>
                <c:pt idx="1">
                  <c:v>8.8999999999999996E-2</c:v>
                </c:pt>
                <c:pt idx="2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5-420E-877F-9CEE8D8E52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7761871"/>
        <c:axId val="1927759471"/>
      </c:barChart>
      <c:catAx>
        <c:axId val="192776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759471"/>
        <c:crosses val="autoZero"/>
        <c:auto val="1"/>
        <c:lblAlgn val="ctr"/>
        <c:lblOffset val="100"/>
        <c:noMultiLvlLbl val="0"/>
      </c:catAx>
      <c:valAx>
        <c:axId val="192775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76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4763</xdr:colOff>
      <xdr:row>36</xdr:row>
      <xdr:rowOff>47625</xdr:rowOff>
    </xdr:from>
    <xdr:to>
      <xdr:col>9</xdr:col>
      <xdr:colOff>119063</xdr:colOff>
      <xdr:row>61</xdr:row>
      <xdr:rowOff>119063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C30E068-832E-4883-8BA0-E4E1A632A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35</xdr:row>
      <xdr:rowOff>76200</xdr:rowOff>
    </xdr:from>
    <xdr:to>
      <xdr:col>2</xdr:col>
      <xdr:colOff>557213</xdr:colOff>
      <xdr:row>56</xdr:row>
      <xdr:rowOff>119063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CF3A1F7B-5C03-46DD-A63B-B69BE0C06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204788</xdr:colOff>
      <xdr:row>58</xdr:row>
      <xdr:rowOff>76200</xdr:rowOff>
    </xdr:from>
    <xdr:to>
      <xdr:col>2</xdr:col>
      <xdr:colOff>447675</xdr:colOff>
      <xdr:row>79</xdr:row>
      <xdr:rowOff>119063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78D142F4-CC71-4E16-B334-951CF198C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23813</xdr:colOff>
      <xdr:row>63</xdr:row>
      <xdr:rowOff>4763</xdr:rowOff>
    </xdr:from>
    <xdr:to>
      <xdr:col>7</xdr:col>
      <xdr:colOff>366713</xdr:colOff>
      <xdr:row>84</xdr:row>
      <xdr:rowOff>47625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69DCC8B6-48ED-42D1-B9E4-2BC9BE217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331334</xdr:colOff>
      <xdr:row>86</xdr:row>
      <xdr:rowOff>15649</xdr:rowOff>
    </xdr:from>
    <xdr:to>
      <xdr:col>4</xdr:col>
      <xdr:colOff>879021</xdr:colOff>
      <xdr:row>118</xdr:row>
      <xdr:rowOff>92528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F981CA4-43DE-41CB-8C0D-DF2C1D972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372836</xdr:colOff>
      <xdr:row>28</xdr:row>
      <xdr:rowOff>148999</xdr:rowOff>
    </xdr:from>
    <xdr:to>
      <xdr:col>18</xdr:col>
      <xdr:colOff>363311</xdr:colOff>
      <xdr:row>57</xdr:row>
      <xdr:rowOff>55109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3A8E6F03-6568-46E8-8A95-314332688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180975</xdr:colOff>
      <xdr:row>0</xdr:row>
      <xdr:rowOff>0</xdr:rowOff>
    </xdr:from>
    <xdr:to>
      <xdr:col>17</xdr:col>
      <xdr:colOff>519113</xdr:colOff>
      <xdr:row>27</xdr:row>
      <xdr:rowOff>100013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807CBE34-706A-4037-819D-AA3DF780D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276225</xdr:colOff>
      <xdr:row>62</xdr:row>
      <xdr:rowOff>4763</xdr:rowOff>
    </xdr:from>
    <xdr:to>
      <xdr:col>18</xdr:col>
      <xdr:colOff>166688</xdr:colOff>
      <xdr:row>88</xdr:row>
      <xdr:rowOff>28575</xdr:rowOff>
    </xdr:to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E4CC1643-1BAA-4A33-8211-737076D5A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1221581</xdr:colOff>
      <xdr:row>6</xdr:row>
      <xdr:rowOff>247650</xdr:rowOff>
    </xdr:from>
    <xdr:to>
      <xdr:col>5</xdr:col>
      <xdr:colOff>395289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6A63B-4541-FB85-A61F-D7445F427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647700</xdr:colOff>
      <xdr:row>6</xdr:row>
      <xdr:rowOff>285750</xdr:rowOff>
    </xdr:from>
    <xdr:to>
      <xdr:col>15</xdr:col>
      <xdr:colOff>478631</xdr:colOff>
      <xdr:row>20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CD153-58F4-4055-D063-59092336C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7936</xdr:colOff>
      <xdr:row>6</xdr:row>
      <xdr:rowOff>454024</xdr:rowOff>
    </xdr:from>
    <xdr:to>
      <xdr:col>22</xdr:col>
      <xdr:colOff>595310</xdr:colOff>
      <xdr:row>20</xdr:row>
      <xdr:rowOff>122765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AADEF7-630A-80B4-DCA2-100B57AE1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986894</xdr:colOff>
      <xdr:row>21</xdr:row>
      <xdr:rowOff>67732</xdr:rowOff>
    </xdr:from>
    <xdr:to>
      <xdr:col>22</xdr:col>
      <xdr:colOff>547685</xdr:colOff>
      <xdr:row>36</xdr:row>
      <xdr:rowOff>112182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201AD8-7957-5F4E-D4AA-06F52A390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1341437</xdr:colOff>
      <xdr:row>22</xdr:row>
      <xdr:rowOff>67733</xdr:rowOff>
    </xdr:from>
    <xdr:to>
      <xdr:col>14</xdr:col>
      <xdr:colOff>537104</xdr:colOff>
      <xdr:row>37</xdr:row>
      <xdr:rowOff>112183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7CF835-BB16-89F8-F0E7-C3E4E0F9F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73ED-68B8-4E1D-96BA-7DC9E95A142D}">
  <sheetPr>
    <outlinePr summaryBelow="0" summaryRight="0"/>
    <pageSetUpPr autoPageBreaks="0"/>
  </sheetPr>
  <dimension ref="A1:G34"/>
  <sheetViews>
    <sheetView tabSelected="1" zoomScale="70" zoomScaleNormal="70" workbookViewId="0">
      <selection activeCell="U17" sqref="U17"/>
    </sheetView>
  </sheetViews>
  <sheetFormatPr defaultRowHeight="10.15" x14ac:dyDescent="0.3"/>
  <cols>
    <col min="1" max="1" width="22.9296875" style="12" customWidth="1"/>
    <col min="2" max="7" width="14.796875" style="12" customWidth="1"/>
    <col min="8" max="256" width="9.06640625" style="12"/>
    <col min="257" max="257" width="45.796875" style="12" customWidth="1"/>
    <col min="258" max="263" width="14.796875" style="12" customWidth="1"/>
    <col min="264" max="512" width="9.06640625" style="12"/>
    <col min="513" max="513" width="45.796875" style="12" customWidth="1"/>
    <col min="514" max="519" width="14.796875" style="12" customWidth="1"/>
    <col min="520" max="768" width="9.06640625" style="12"/>
    <col min="769" max="769" width="45.796875" style="12" customWidth="1"/>
    <col min="770" max="775" width="14.796875" style="12" customWidth="1"/>
    <col min="776" max="1024" width="9.06640625" style="12"/>
    <col min="1025" max="1025" width="45.796875" style="12" customWidth="1"/>
    <col min="1026" max="1031" width="14.796875" style="12" customWidth="1"/>
    <col min="1032" max="1280" width="9.06640625" style="12"/>
    <col min="1281" max="1281" width="45.796875" style="12" customWidth="1"/>
    <col min="1282" max="1287" width="14.796875" style="12" customWidth="1"/>
    <col min="1288" max="1536" width="9.06640625" style="12"/>
    <col min="1537" max="1537" width="45.796875" style="12" customWidth="1"/>
    <col min="1538" max="1543" width="14.796875" style="12" customWidth="1"/>
    <col min="1544" max="1792" width="9.06640625" style="12"/>
    <col min="1793" max="1793" width="45.796875" style="12" customWidth="1"/>
    <col min="1794" max="1799" width="14.796875" style="12" customWidth="1"/>
    <col min="1800" max="2048" width="9.06640625" style="12"/>
    <col min="2049" max="2049" width="45.796875" style="12" customWidth="1"/>
    <col min="2050" max="2055" width="14.796875" style="12" customWidth="1"/>
    <col min="2056" max="2304" width="9.06640625" style="12"/>
    <col min="2305" max="2305" width="45.796875" style="12" customWidth="1"/>
    <col min="2306" max="2311" width="14.796875" style="12" customWidth="1"/>
    <col min="2312" max="2560" width="9.06640625" style="12"/>
    <col min="2561" max="2561" width="45.796875" style="12" customWidth="1"/>
    <col min="2562" max="2567" width="14.796875" style="12" customWidth="1"/>
    <col min="2568" max="2816" width="9.06640625" style="12"/>
    <col min="2817" max="2817" width="45.796875" style="12" customWidth="1"/>
    <col min="2818" max="2823" width="14.796875" style="12" customWidth="1"/>
    <col min="2824" max="3072" width="9.06640625" style="12"/>
    <col min="3073" max="3073" width="45.796875" style="12" customWidth="1"/>
    <col min="3074" max="3079" width="14.796875" style="12" customWidth="1"/>
    <col min="3080" max="3328" width="9.06640625" style="12"/>
    <col min="3329" max="3329" width="45.796875" style="12" customWidth="1"/>
    <col min="3330" max="3335" width="14.796875" style="12" customWidth="1"/>
    <col min="3336" max="3584" width="9.06640625" style="12"/>
    <col min="3585" max="3585" width="45.796875" style="12" customWidth="1"/>
    <col min="3586" max="3591" width="14.796875" style="12" customWidth="1"/>
    <col min="3592" max="3840" width="9.06640625" style="12"/>
    <col min="3841" max="3841" width="45.796875" style="12" customWidth="1"/>
    <col min="3842" max="3847" width="14.796875" style="12" customWidth="1"/>
    <col min="3848" max="4096" width="9.06640625" style="12"/>
    <col min="4097" max="4097" width="45.796875" style="12" customWidth="1"/>
    <col min="4098" max="4103" width="14.796875" style="12" customWidth="1"/>
    <col min="4104" max="4352" width="9.06640625" style="12"/>
    <col min="4353" max="4353" width="45.796875" style="12" customWidth="1"/>
    <col min="4354" max="4359" width="14.796875" style="12" customWidth="1"/>
    <col min="4360" max="4608" width="9.06640625" style="12"/>
    <col min="4609" max="4609" width="45.796875" style="12" customWidth="1"/>
    <col min="4610" max="4615" width="14.796875" style="12" customWidth="1"/>
    <col min="4616" max="4864" width="9.06640625" style="12"/>
    <col min="4865" max="4865" width="45.796875" style="12" customWidth="1"/>
    <col min="4866" max="4871" width="14.796875" style="12" customWidth="1"/>
    <col min="4872" max="5120" width="9.06640625" style="12"/>
    <col min="5121" max="5121" width="45.796875" style="12" customWidth="1"/>
    <col min="5122" max="5127" width="14.796875" style="12" customWidth="1"/>
    <col min="5128" max="5376" width="9.06640625" style="12"/>
    <col min="5377" max="5377" width="45.796875" style="12" customWidth="1"/>
    <col min="5378" max="5383" width="14.796875" style="12" customWidth="1"/>
    <col min="5384" max="5632" width="9.06640625" style="12"/>
    <col min="5633" max="5633" width="45.796875" style="12" customWidth="1"/>
    <col min="5634" max="5639" width="14.796875" style="12" customWidth="1"/>
    <col min="5640" max="5888" width="9.06640625" style="12"/>
    <col min="5889" max="5889" width="45.796875" style="12" customWidth="1"/>
    <col min="5890" max="5895" width="14.796875" style="12" customWidth="1"/>
    <col min="5896" max="6144" width="9.06640625" style="12"/>
    <col min="6145" max="6145" width="45.796875" style="12" customWidth="1"/>
    <col min="6146" max="6151" width="14.796875" style="12" customWidth="1"/>
    <col min="6152" max="6400" width="9.06640625" style="12"/>
    <col min="6401" max="6401" width="45.796875" style="12" customWidth="1"/>
    <col min="6402" max="6407" width="14.796875" style="12" customWidth="1"/>
    <col min="6408" max="6656" width="9.06640625" style="12"/>
    <col min="6657" max="6657" width="45.796875" style="12" customWidth="1"/>
    <col min="6658" max="6663" width="14.796875" style="12" customWidth="1"/>
    <col min="6664" max="6912" width="9.06640625" style="12"/>
    <col min="6913" max="6913" width="45.796875" style="12" customWidth="1"/>
    <col min="6914" max="6919" width="14.796875" style="12" customWidth="1"/>
    <col min="6920" max="7168" width="9.06640625" style="12"/>
    <col min="7169" max="7169" width="45.796875" style="12" customWidth="1"/>
    <col min="7170" max="7175" width="14.796875" style="12" customWidth="1"/>
    <col min="7176" max="7424" width="9.06640625" style="12"/>
    <col min="7425" max="7425" width="45.796875" style="12" customWidth="1"/>
    <col min="7426" max="7431" width="14.796875" style="12" customWidth="1"/>
    <col min="7432" max="7680" width="9.06640625" style="12"/>
    <col min="7681" max="7681" width="45.796875" style="12" customWidth="1"/>
    <col min="7682" max="7687" width="14.796875" style="12" customWidth="1"/>
    <col min="7688" max="7936" width="9.06640625" style="12"/>
    <col min="7937" max="7937" width="45.796875" style="12" customWidth="1"/>
    <col min="7938" max="7943" width="14.796875" style="12" customWidth="1"/>
    <col min="7944" max="8192" width="9.06640625" style="12"/>
    <col min="8193" max="8193" width="45.796875" style="12" customWidth="1"/>
    <col min="8194" max="8199" width="14.796875" style="12" customWidth="1"/>
    <col min="8200" max="8448" width="9.06640625" style="12"/>
    <col min="8449" max="8449" width="45.796875" style="12" customWidth="1"/>
    <col min="8450" max="8455" width="14.796875" style="12" customWidth="1"/>
    <col min="8456" max="8704" width="9.06640625" style="12"/>
    <col min="8705" max="8705" width="45.796875" style="12" customWidth="1"/>
    <col min="8706" max="8711" width="14.796875" style="12" customWidth="1"/>
    <col min="8712" max="8960" width="9.06640625" style="12"/>
    <col min="8961" max="8961" width="45.796875" style="12" customWidth="1"/>
    <col min="8962" max="8967" width="14.796875" style="12" customWidth="1"/>
    <col min="8968" max="9216" width="9.06640625" style="12"/>
    <col min="9217" max="9217" width="45.796875" style="12" customWidth="1"/>
    <col min="9218" max="9223" width="14.796875" style="12" customWidth="1"/>
    <col min="9224" max="9472" width="9.06640625" style="12"/>
    <col min="9473" max="9473" width="45.796875" style="12" customWidth="1"/>
    <col min="9474" max="9479" width="14.796875" style="12" customWidth="1"/>
    <col min="9480" max="9728" width="9.06640625" style="12"/>
    <col min="9729" max="9729" width="45.796875" style="12" customWidth="1"/>
    <col min="9730" max="9735" width="14.796875" style="12" customWidth="1"/>
    <col min="9736" max="9984" width="9.06640625" style="12"/>
    <col min="9985" max="9985" width="45.796875" style="12" customWidth="1"/>
    <col min="9986" max="9991" width="14.796875" style="12" customWidth="1"/>
    <col min="9992" max="10240" width="9.06640625" style="12"/>
    <col min="10241" max="10241" width="45.796875" style="12" customWidth="1"/>
    <col min="10242" max="10247" width="14.796875" style="12" customWidth="1"/>
    <col min="10248" max="10496" width="9.06640625" style="12"/>
    <col min="10497" max="10497" width="45.796875" style="12" customWidth="1"/>
    <col min="10498" max="10503" width="14.796875" style="12" customWidth="1"/>
    <col min="10504" max="10752" width="9.06640625" style="12"/>
    <col min="10753" max="10753" width="45.796875" style="12" customWidth="1"/>
    <col min="10754" max="10759" width="14.796875" style="12" customWidth="1"/>
    <col min="10760" max="11008" width="9.06640625" style="12"/>
    <col min="11009" max="11009" width="45.796875" style="12" customWidth="1"/>
    <col min="11010" max="11015" width="14.796875" style="12" customWidth="1"/>
    <col min="11016" max="11264" width="9.06640625" style="12"/>
    <col min="11265" max="11265" width="45.796875" style="12" customWidth="1"/>
    <col min="11266" max="11271" width="14.796875" style="12" customWidth="1"/>
    <col min="11272" max="11520" width="9.06640625" style="12"/>
    <col min="11521" max="11521" width="45.796875" style="12" customWidth="1"/>
    <col min="11522" max="11527" width="14.796875" style="12" customWidth="1"/>
    <col min="11528" max="11776" width="9.06640625" style="12"/>
    <col min="11777" max="11777" width="45.796875" style="12" customWidth="1"/>
    <col min="11778" max="11783" width="14.796875" style="12" customWidth="1"/>
    <col min="11784" max="12032" width="9.06640625" style="12"/>
    <col min="12033" max="12033" width="45.796875" style="12" customWidth="1"/>
    <col min="12034" max="12039" width="14.796875" style="12" customWidth="1"/>
    <col min="12040" max="12288" width="9.06640625" style="12"/>
    <col min="12289" max="12289" width="45.796875" style="12" customWidth="1"/>
    <col min="12290" max="12295" width="14.796875" style="12" customWidth="1"/>
    <col min="12296" max="12544" width="9.06640625" style="12"/>
    <col min="12545" max="12545" width="45.796875" style="12" customWidth="1"/>
    <col min="12546" max="12551" width="14.796875" style="12" customWidth="1"/>
    <col min="12552" max="12800" width="9.06640625" style="12"/>
    <col min="12801" max="12801" width="45.796875" style="12" customWidth="1"/>
    <col min="12802" max="12807" width="14.796875" style="12" customWidth="1"/>
    <col min="12808" max="13056" width="9.06640625" style="12"/>
    <col min="13057" max="13057" width="45.796875" style="12" customWidth="1"/>
    <col min="13058" max="13063" width="14.796875" style="12" customWidth="1"/>
    <col min="13064" max="13312" width="9.06640625" style="12"/>
    <col min="13313" max="13313" width="45.796875" style="12" customWidth="1"/>
    <col min="13314" max="13319" width="14.796875" style="12" customWidth="1"/>
    <col min="13320" max="13568" width="9.06640625" style="12"/>
    <col min="13569" max="13569" width="45.796875" style="12" customWidth="1"/>
    <col min="13570" max="13575" width="14.796875" style="12" customWidth="1"/>
    <col min="13576" max="13824" width="9.06640625" style="12"/>
    <col min="13825" max="13825" width="45.796875" style="12" customWidth="1"/>
    <col min="13826" max="13831" width="14.796875" style="12" customWidth="1"/>
    <col min="13832" max="14080" width="9.06640625" style="12"/>
    <col min="14081" max="14081" width="45.796875" style="12" customWidth="1"/>
    <col min="14082" max="14087" width="14.796875" style="12" customWidth="1"/>
    <col min="14088" max="14336" width="9.06640625" style="12"/>
    <col min="14337" max="14337" width="45.796875" style="12" customWidth="1"/>
    <col min="14338" max="14343" width="14.796875" style="12" customWidth="1"/>
    <col min="14344" max="14592" width="9.06640625" style="12"/>
    <col min="14593" max="14593" width="45.796875" style="12" customWidth="1"/>
    <col min="14594" max="14599" width="14.796875" style="12" customWidth="1"/>
    <col min="14600" max="14848" width="9.06640625" style="12"/>
    <col min="14849" max="14849" width="45.796875" style="12" customWidth="1"/>
    <col min="14850" max="14855" width="14.796875" style="12" customWidth="1"/>
    <col min="14856" max="15104" width="9.06640625" style="12"/>
    <col min="15105" max="15105" width="45.796875" style="12" customWidth="1"/>
    <col min="15106" max="15111" width="14.796875" style="12" customWidth="1"/>
    <col min="15112" max="15360" width="9.06640625" style="12"/>
    <col min="15361" max="15361" width="45.796875" style="12" customWidth="1"/>
    <col min="15362" max="15367" width="14.796875" style="12" customWidth="1"/>
    <col min="15368" max="15616" width="9.06640625" style="12"/>
    <col min="15617" max="15617" width="45.796875" style="12" customWidth="1"/>
    <col min="15618" max="15623" width="14.796875" style="12" customWidth="1"/>
    <col min="15624" max="15872" width="9.06640625" style="12"/>
    <col min="15873" max="15873" width="45.796875" style="12" customWidth="1"/>
    <col min="15874" max="15879" width="14.796875" style="12" customWidth="1"/>
    <col min="15880" max="16128" width="9.06640625" style="12"/>
    <col min="16129" max="16129" width="45.796875" style="12" customWidth="1"/>
    <col min="16130" max="16135" width="14.796875" style="12" customWidth="1"/>
    <col min="16136" max="16384" width="9.06640625" style="12"/>
  </cols>
  <sheetData>
    <row r="1" spans="1:7" s="9" customFormat="1" ht="14.75" customHeight="1" x14ac:dyDescent="0.45">
      <c r="A1" s="25" t="s">
        <v>35</v>
      </c>
      <c r="B1" s="26" t="s">
        <v>9</v>
      </c>
      <c r="C1" s="26" t="s">
        <v>10</v>
      </c>
      <c r="D1" s="26" t="s">
        <v>11</v>
      </c>
      <c r="E1" s="26" t="s">
        <v>12</v>
      </c>
      <c r="F1" s="26" t="s">
        <v>13</v>
      </c>
      <c r="G1" s="26" t="s">
        <v>14</v>
      </c>
    </row>
    <row r="2" spans="1:7" x14ac:dyDescent="0.3">
      <c r="A2" s="10" t="s">
        <v>15</v>
      </c>
      <c r="B2" s="11">
        <v>20390</v>
      </c>
      <c r="C2" s="11">
        <v>25844</v>
      </c>
      <c r="D2" s="11">
        <v>26985</v>
      </c>
      <c r="E2" s="11">
        <v>26948.9</v>
      </c>
      <c r="F2" s="11">
        <v>26765.4</v>
      </c>
      <c r="G2" s="11">
        <v>27915.4</v>
      </c>
    </row>
    <row r="3" spans="1:7" x14ac:dyDescent="0.3">
      <c r="A3" s="10" t="s">
        <v>16</v>
      </c>
      <c r="B3" s="13"/>
      <c r="C3" s="14">
        <f>C2/B2-1</f>
        <v>0.26748406081412468</v>
      </c>
      <c r="D3" s="14">
        <f>D2/C2-1</f>
        <v>4.4149512459371598E-2</v>
      </c>
      <c r="E3" s="14">
        <f>E2/D2-1</f>
        <v>-1.3377802482860135E-3</v>
      </c>
      <c r="F3" s="14">
        <f>F2/E2-1</f>
        <v>-6.8091833061831863E-3</v>
      </c>
      <c r="G3" s="14">
        <f>G2/F2-1</f>
        <v>4.2965918686064919E-2</v>
      </c>
    </row>
    <row r="4" spans="1:7" x14ac:dyDescent="0.3">
      <c r="A4" s="15" t="s">
        <v>17</v>
      </c>
      <c r="B4" s="16">
        <v>16806</v>
      </c>
      <c r="C4" s="16">
        <v>20891.400000000001</v>
      </c>
      <c r="D4" s="16">
        <v>21719.7</v>
      </c>
      <c r="E4" s="16">
        <v>21817.4</v>
      </c>
      <c r="F4" s="16">
        <v>21980</v>
      </c>
      <c r="G4" s="16">
        <v>22940.1</v>
      </c>
    </row>
    <row r="5" spans="1:7" x14ac:dyDescent="0.3">
      <c r="A5" s="10" t="s">
        <v>18</v>
      </c>
      <c r="B5" s="11">
        <v>3584</v>
      </c>
      <c r="C5" s="11">
        <v>4952.6000000000004</v>
      </c>
      <c r="D5" s="11">
        <v>5265.3</v>
      </c>
      <c r="E5" s="11">
        <v>5131.5</v>
      </c>
      <c r="F5" s="11">
        <v>4785.3999999999996</v>
      </c>
      <c r="G5" s="11">
        <v>4975.3</v>
      </c>
    </row>
    <row r="6" spans="1:7" x14ac:dyDescent="0.3">
      <c r="A6" s="10" t="s">
        <v>19</v>
      </c>
      <c r="B6" s="13"/>
      <c r="C6" s="14">
        <f>C5/B5-1</f>
        <v>0.38186383928571432</v>
      </c>
      <c r="D6" s="14">
        <f>D5/C5-1</f>
        <v>6.3138553487057214E-2</v>
      </c>
      <c r="E6" s="14">
        <f>E5/D5-1</f>
        <v>-2.5411657455415626E-2</v>
      </c>
      <c r="F6" s="14">
        <f>F5/E5-1</f>
        <v>-6.7446165838448868E-2</v>
      </c>
      <c r="G6" s="14">
        <f>G5/F5-1</f>
        <v>3.9683203076023021E-2</v>
      </c>
    </row>
    <row r="7" spans="1:7" x14ac:dyDescent="0.3">
      <c r="A7" s="10" t="s">
        <v>20</v>
      </c>
      <c r="B7" s="13">
        <v>982.4</v>
      </c>
      <c r="C7" s="13">
        <v>1889.5</v>
      </c>
      <c r="D7" s="13">
        <v>2047.4</v>
      </c>
      <c r="E7" s="13">
        <v>1661.9</v>
      </c>
      <c r="F7" s="13">
        <v>1324.5</v>
      </c>
      <c r="G7" s="13">
        <v>1416.6</v>
      </c>
    </row>
    <row r="8" spans="1:7" x14ac:dyDescent="0.3">
      <c r="A8" s="15" t="s">
        <v>21</v>
      </c>
      <c r="B8" s="16">
        <v>-157.5</v>
      </c>
      <c r="C8" s="16">
        <v>-118.7</v>
      </c>
      <c r="D8" s="16">
        <v>-176.3</v>
      </c>
      <c r="E8" s="16">
        <v>-326.10000000000002</v>
      </c>
      <c r="F8" s="16">
        <v>-398.6</v>
      </c>
      <c r="G8" s="16">
        <v>-371.4</v>
      </c>
    </row>
    <row r="9" spans="1:7" x14ac:dyDescent="0.3">
      <c r="A9" s="15" t="s">
        <v>22</v>
      </c>
      <c r="B9" s="16" t="s">
        <v>23</v>
      </c>
      <c r="C9" s="16" t="s">
        <v>23</v>
      </c>
      <c r="D9" s="16" t="s">
        <v>23</v>
      </c>
      <c r="E9" s="16" t="s">
        <v>23</v>
      </c>
      <c r="F9" s="16" t="s">
        <v>23</v>
      </c>
      <c r="G9" s="16">
        <v>3.6</v>
      </c>
    </row>
    <row r="10" spans="1:7" x14ac:dyDescent="0.3">
      <c r="A10" s="10" t="s">
        <v>24</v>
      </c>
      <c r="B10" s="11">
        <v>-157.5</v>
      </c>
      <c r="C10" s="11">
        <v>-118.7</v>
      </c>
      <c r="D10" s="11">
        <v>-176.3</v>
      </c>
      <c r="E10" s="11">
        <v>-326.10000000000002</v>
      </c>
      <c r="F10" s="11">
        <v>-398.6</v>
      </c>
      <c r="G10" s="11">
        <v>-367.8</v>
      </c>
    </row>
    <row r="11" spans="1:7" x14ac:dyDescent="0.3">
      <c r="A11" s="10" t="s">
        <v>25</v>
      </c>
      <c r="B11" s="17">
        <v>381.6</v>
      </c>
      <c r="C11" s="17">
        <v>1373</v>
      </c>
      <c r="D11" s="17">
        <v>1377.4</v>
      </c>
      <c r="E11" s="17">
        <v>1021.1</v>
      </c>
      <c r="F11" s="17">
        <v>692.2</v>
      </c>
      <c r="G11" s="17">
        <v>663.1</v>
      </c>
    </row>
    <row r="12" spans="1:7" x14ac:dyDescent="0.3">
      <c r="A12" s="15" t="s">
        <v>26</v>
      </c>
      <c r="B12" s="18">
        <v>4.32</v>
      </c>
      <c r="C12" s="18">
        <v>18.5</v>
      </c>
      <c r="D12" s="18">
        <v>24.47</v>
      </c>
      <c r="E12" s="18">
        <v>22.89</v>
      </c>
      <c r="F12" s="18">
        <v>17.09</v>
      </c>
      <c r="G12" s="18">
        <v>17.2</v>
      </c>
    </row>
    <row r="13" spans="1:7" ht="13.15" customHeight="1" x14ac:dyDescent="0.3">
      <c r="A13" s="15" t="s">
        <v>27</v>
      </c>
      <c r="B13" s="18">
        <v>4.3</v>
      </c>
      <c r="C13" s="18">
        <v>18.309999999999999</v>
      </c>
      <c r="D13" s="18">
        <v>24.29</v>
      </c>
      <c r="E13" s="18">
        <v>22.74</v>
      </c>
      <c r="F13" s="18">
        <v>16.920000000000002</v>
      </c>
      <c r="G13" s="18">
        <v>16.989999999999998</v>
      </c>
    </row>
    <row r="14" spans="1:7" x14ac:dyDescent="0.3">
      <c r="A14" s="15" t="s">
        <v>28</v>
      </c>
      <c r="B14" s="16">
        <v>1177.4000000000001</v>
      </c>
      <c r="C14" s="16">
        <v>2082.8000000000002</v>
      </c>
      <c r="D14" s="16">
        <v>2247.6999999999998</v>
      </c>
      <c r="E14" s="16">
        <v>1882.4</v>
      </c>
      <c r="F14" s="16">
        <v>1565.2</v>
      </c>
      <c r="G14" s="16">
        <v>1667.7</v>
      </c>
    </row>
    <row r="15" spans="1:7" x14ac:dyDescent="0.3">
      <c r="A15" s="19" t="s">
        <v>29</v>
      </c>
    </row>
    <row r="17" spans="1:7" s="9" customFormat="1" ht="14.75" customHeight="1" x14ac:dyDescent="0.45">
      <c r="A17" s="25" t="s">
        <v>35</v>
      </c>
      <c r="B17" s="26" t="s">
        <v>9</v>
      </c>
      <c r="C17" s="26" t="s">
        <v>10</v>
      </c>
      <c r="D17" s="26" t="s">
        <v>11</v>
      </c>
      <c r="E17" s="26" t="s">
        <v>12</v>
      </c>
      <c r="F17" s="26" t="s">
        <v>13</v>
      </c>
      <c r="G17" s="26" t="s">
        <v>14</v>
      </c>
    </row>
    <row r="18" spans="1:7" x14ac:dyDescent="0.3">
      <c r="A18" s="10" t="s">
        <v>25</v>
      </c>
      <c r="B18" s="17">
        <v>381.6</v>
      </c>
      <c r="C18" s="17">
        <v>1373</v>
      </c>
      <c r="D18" s="17">
        <v>1377.4</v>
      </c>
      <c r="E18" s="17">
        <v>1021.1</v>
      </c>
      <c r="F18" s="17">
        <v>692.2</v>
      </c>
      <c r="G18" s="17">
        <v>663.1</v>
      </c>
    </row>
    <row r="19" spans="1:7" x14ac:dyDescent="0.3">
      <c r="A19" s="12" t="s">
        <v>30</v>
      </c>
      <c r="C19" s="20">
        <f>C18/B18-1</f>
        <v>2.5980083857442344</v>
      </c>
      <c r="D19" s="20">
        <f>D18/C18-1</f>
        <v>3.2046613255645173E-3</v>
      </c>
      <c r="E19" s="20">
        <f>E18/D18-1</f>
        <v>-0.25867576593582109</v>
      </c>
      <c r="F19" s="20">
        <f>F18/E18-1</f>
        <v>-0.3221036137498775</v>
      </c>
      <c r="G19" s="20">
        <f>G18/F18-1</f>
        <v>-4.2039872869113037E-2</v>
      </c>
    </row>
    <row r="20" spans="1:7" x14ac:dyDescent="0.3">
      <c r="C20" s="20"/>
      <c r="D20" s="20"/>
      <c r="E20" s="20"/>
      <c r="F20" s="20"/>
      <c r="G20" s="20"/>
    </row>
    <row r="21" spans="1:7" s="9" customFormat="1" ht="14.75" customHeight="1" x14ac:dyDescent="0.45">
      <c r="A21" s="25" t="s">
        <v>7</v>
      </c>
      <c r="B21" s="26" t="s">
        <v>9</v>
      </c>
      <c r="C21" s="26" t="s">
        <v>10</v>
      </c>
      <c r="D21" s="26" t="s">
        <v>11</v>
      </c>
      <c r="E21" s="26" t="s">
        <v>12</v>
      </c>
      <c r="F21" s="26" t="s">
        <v>13</v>
      </c>
      <c r="G21" s="26" t="s">
        <v>14</v>
      </c>
    </row>
    <row r="22" spans="1:7" x14ac:dyDescent="0.3">
      <c r="A22" s="10" t="s">
        <v>18</v>
      </c>
      <c r="B22" s="11">
        <v>3584</v>
      </c>
      <c r="C22" s="11">
        <v>4952.6000000000004</v>
      </c>
      <c r="D22" s="11">
        <v>5265.3</v>
      </c>
      <c r="E22" s="11">
        <v>5131.5</v>
      </c>
      <c r="F22" s="11">
        <v>4785.3999999999996</v>
      </c>
      <c r="G22" s="11">
        <v>4975.3</v>
      </c>
    </row>
    <row r="24" spans="1:7" s="9" customFormat="1" ht="14.75" customHeight="1" x14ac:dyDescent="0.45">
      <c r="A24" s="25" t="s">
        <v>7</v>
      </c>
      <c r="B24" s="26" t="s">
        <v>9</v>
      </c>
      <c r="C24" s="26" t="s">
        <v>10</v>
      </c>
      <c r="D24" s="26" t="s">
        <v>11</v>
      </c>
      <c r="E24" s="26" t="s">
        <v>12</v>
      </c>
      <c r="F24" s="26" t="s">
        <v>13</v>
      </c>
      <c r="G24" s="26" t="s">
        <v>14</v>
      </c>
    </row>
    <row r="25" spans="1:7" x14ac:dyDescent="0.3">
      <c r="A25" s="15" t="s">
        <v>28</v>
      </c>
      <c r="B25" s="16">
        <v>1177.4000000000001</v>
      </c>
      <c r="C25" s="16">
        <v>2082.8000000000002</v>
      </c>
      <c r="D25" s="16">
        <v>2247.6999999999998</v>
      </c>
      <c r="E25" s="16">
        <v>1882.4</v>
      </c>
      <c r="F25" s="16">
        <v>1565.2</v>
      </c>
      <c r="G25" s="16">
        <v>1667.7</v>
      </c>
    </row>
    <row r="27" spans="1:7" s="9" customFormat="1" ht="14.75" customHeight="1" x14ac:dyDescent="0.45">
      <c r="A27" s="25" t="s">
        <v>7</v>
      </c>
      <c r="B27" s="26" t="s">
        <v>9</v>
      </c>
      <c r="C27" s="26" t="s">
        <v>10</v>
      </c>
      <c r="D27" s="26" t="s">
        <v>11</v>
      </c>
      <c r="E27" s="26" t="s">
        <v>12</v>
      </c>
      <c r="F27" s="26" t="s">
        <v>13</v>
      </c>
      <c r="G27" s="26" t="s">
        <v>14</v>
      </c>
    </row>
    <row r="28" spans="1:7" x14ac:dyDescent="0.3">
      <c r="A28" s="10" t="s">
        <v>31</v>
      </c>
      <c r="B28" s="17">
        <v>527.20000000000005</v>
      </c>
      <c r="C28" s="17">
        <v>-509.1</v>
      </c>
      <c r="D28" s="17">
        <v>34.799999999999997</v>
      </c>
      <c r="E28" s="17">
        <v>-18.399999999999999</v>
      </c>
      <c r="F28" s="17">
        <v>26.4</v>
      </c>
      <c r="G28" s="17">
        <v>27.6</v>
      </c>
    </row>
    <row r="29" spans="1:7" s="9" customFormat="1" ht="14.75" customHeight="1" x14ac:dyDescent="0.45">
      <c r="A29" s="25" t="s">
        <v>7</v>
      </c>
      <c r="B29" s="26" t="s">
        <v>9</v>
      </c>
      <c r="C29" s="26" t="s">
        <v>10</v>
      </c>
      <c r="D29" s="26" t="s">
        <v>11</v>
      </c>
      <c r="E29" s="26" t="s">
        <v>12</v>
      </c>
      <c r="F29" s="26" t="s">
        <v>13</v>
      </c>
      <c r="G29" s="26" t="s">
        <v>14</v>
      </c>
    </row>
    <row r="30" spans="1:7" x14ac:dyDescent="0.3">
      <c r="A30" s="21" t="s">
        <v>32</v>
      </c>
      <c r="B30" s="22">
        <v>1207.5999999999999</v>
      </c>
      <c r="C30" s="22">
        <v>1627.7</v>
      </c>
      <c r="D30" s="22">
        <v>1668.1</v>
      </c>
      <c r="E30" s="22">
        <v>724</v>
      </c>
      <c r="F30" s="22">
        <v>314.7</v>
      </c>
      <c r="G30" s="22">
        <v>111.2</v>
      </c>
    </row>
    <row r="31" spans="1:7" x14ac:dyDescent="0.3">
      <c r="A31" s="15" t="s">
        <v>33</v>
      </c>
      <c r="B31" s="23">
        <v>-156</v>
      </c>
      <c r="C31" s="23">
        <v>-215.7</v>
      </c>
      <c r="D31" s="23">
        <v>-329</v>
      </c>
      <c r="E31" s="23">
        <v>-410.3</v>
      </c>
      <c r="F31" s="23">
        <v>-328.5</v>
      </c>
      <c r="G31" s="23">
        <v>-289.39999999999998</v>
      </c>
    </row>
    <row r="32" spans="1:7" x14ac:dyDescent="0.3">
      <c r="A32" s="12" t="s">
        <v>34</v>
      </c>
      <c r="B32" s="24">
        <f t="shared" ref="B32:G32" si="0">SUM(B30:B31)</f>
        <v>1051.5999999999999</v>
      </c>
      <c r="C32" s="24">
        <f t="shared" si="0"/>
        <v>1412</v>
      </c>
      <c r="D32" s="24">
        <f t="shared" si="0"/>
        <v>1339.1</v>
      </c>
      <c r="E32" s="24">
        <f t="shared" si="0"/>
        <v>313.7</v>
      </c>
      <c r="F32" s="24">
        <f t="shared" si="0"/>
        <v>-13.800000000000011</v>
      </c>
      <c r="G32" s="24">
        <f t="shared" si="0"/>
        <v>-178.2</v>
      </c>
    </row>
    <row r="33" spans="1:6" s="9" customFormat="1" ht="14.75" customHeight="1" x14ac:dyDescent="0.45">
      <c r="A33" s="25" t="s">
        <v>35</v>
      </c>
      <c r="B33" s="26" t="s">
        <v>10</v>
      </c>
      <c r="C33" s="26" t="s">
        <v>11</v>
      </c>
      <c r="D33" s="26" t="s">
        <v>12</v>
      </c>
      <c r="E33" s="26" t="s">
        <v>13</v>
      </c>
      <c r="F33" s="26" t="s">
        <v>14</v>
      </c>
    </row>
    <row r="34" spans="1:6" x14ac:dyDescent="0.3">
      <c r="A34" s="12" t="s">
        <v>30</v>
      </c>
      <c r="B34" s="20">
        <v>2.5980083857442344</v>
      </c>
      <c r="C34" s="20">
        <v>3.2046613255645173E-3</v>
      </c>
      <c r="D34" s="20">
        <v>-0.25867576593582109</v>
      </c>
      <c r="E34" s="20">
        <v>-0.3221036137498775</v>
      </c>
      <c r="F34" s="20">
        <v>-4.2039872869113037E-2</v>
      </c>
    </row>
  </sheetData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E2D9-37BB-43BA-A4ED-40594DB42A1A}">
  <dimension ref="A1:R7"/>
  <sheetViews>
    <sheetView zoomScale="90" zoomScaleNormal="90" workbookViewId="0">
      <selection activeCell="B26" sqref="B26"/>
    </sheetView>
  </sheetViews>
  <sheetFormatPr defaultRowHeight="14.25" x14ac:dyDescent="0.45"/>
  <cols>
    <col min="1" max="1" width="25.53125" customWidth="1"/>
    <col min="2" max="2" width="11.9296875" customWidth="1"/>
    <col min="3" max="3" width="26.86328125" customWidth="1"/>
    <col min="4" max="4" width="6.9296875" customWidth="1"/>
    <col min="5" max="5" width="22.59765625" customWidth="1"/>
    <col min="6" max="6" width="11.3984375" customWidth="1"/>
    <col min="7" max="7" width="27.19921875" customWidth="1"/>
    <col min="8" max="8" width="14.06640625" customWidth="1"/>
    <col min="10" max="10" width="11.265625" customWidth="1"/>
    <col min="14" max="14" width="9.73046875" customWidth="1"/>
    <col min="16" max="16" width="14.3984375" customWidth="1"/>
    <col min="17" max="17" width="10.59765625" customWidth="1"/>
  </cols>
  <sheetData>
    <row r="1" spans="1:18" ht="16.5" customHeight="1" x14ac:dyDescent="0.45">
      <c r="A1" s="7" t="s">
        <v>6</v>
      </c>
      <c r="B1" s="6" t="s">
        <v>8</v>
      </c>
      <c r="C1" s="7" t="s">
        <v>42</v>
      </c>
      <c r="E1" s="6" t="s">
        <v>3</v>
      </c>
      <c r="F1" s="6" t="s">
        <v>8</v>
      </c>
      <c r="G1" s="33" t="str">
        <f>C1</f>
        <v>Adjusted-Returns for AutoNation</v>
      </c>
      <c r="H1" s="8"/>
      <c r="I1" s="37"/>
      <c r="J1" s="29" t="s">
        <v>4</v>
      </c>
      <c r="K1" s="29" t="s">
        <v>36</v>
      </c>
      <c r="L1" s="8"/>
      <c r="M1" s="29"/>
      <c r="N1" s="29" t="str">
        <f>J1</f>
        <v>AutoNation</v>
      </c>
      <c r="O1" s="32" t="str">
        <f>K1</f>
        <v>Industry</v>
      </c>
      <c r="P1" s="34"/>
      <c r="Q1" s="29" t="str">
        <f>N1</f>
        <v>AutoNation</v>
      </c>
      <c r="R1" s="29" t="str">
        <f>O1</f>
        <v>Industry</v>
      </c>
    </row>
    <row r="2" spans="1:18" x14ac:dyDescent="0.45">
      <c r="A2" s="7" t="s">
        <v>0</v>
      </c>
      <c r="B2" s="2">
        <v>-0.03</v>
      </c>
      <c r="C2" s="3"/>
      <c r="D2" s="1"/>
      <c r="E2" s="6" t="s">
        <v>4</v>
      </c>
      <c r="F2" s="4">
        <v>0.26569999999999999</v>
      </c>
      <c r="G2" s="35"/>
      <c r="H2" s="27"/>
      <c r="I2" s="37" t="s">
        <v>37</v>
      </c>
      <c r="J2" s="30">
        <v>6.5000000000000002E-2</v>
      </c>
      <c r="K2" s="30">
        <v>4.2000000000000003E-2</v>
      </c>
      <c r="L2" s="31"/>
      <c r="M2" s="29" t="s">
        <v>40</v>
      </c>
      <c r="N2" s="6">
        <v>13.26</v>
      </c>
      <c r="O2" s="33">
        <v>19.600000000000001</v>
      </c>
      <c r="P2" s="29" t="s">
        <v>43</v>
      </c>
      <c r="Q2" s="6">
        <v>0.8</v>
      </c>
      <c r="R2" s="6">
        <v>1.1000000000000001</v>
      </c>
    </row>
    <row r="3" spans="1:18" x14ac:dyDescent="0.45">
      <c r="A3" s="7" t="s">
        <v>1</v>
      </c>
      <c r="B3" s="2">
        <v>5.5E-2</v>
      </c>
      <c r="C3" s="3">
        <f>$B$2-B3</f>
        <v>-8.4999999999999992E-2</v>
      </c>
      <c r="D3" s="1"/>
      <c r="E3" s="6" t="str">
        <f>A3</f>
        <v>Consumer Cyclical Sector</v>
      </c>
      <c r="F3" s="4">
        <f>0.2246</f>
        <v>0.22459999999999999</v>
      </c>
      <c r="G3" s="36">
        <f>$F$2-F3</f>
        <v>4.1099999999999998E-2</v>
      </c>
      <c r="H3" s="28"/>
      <c r="I3" s="37" t="s">
        <v>38</v>
      </c>
      <c r="J3" s="30">
        <v>0.27200000000000002</v>
      </c>
      <c r="K3" s="30">
        <v>8.8999999999999996E-2</v>
      </c>
      <c r="L3" s="31"/>
      <c r="M3" s="29" t="s">
        <v>41</v>
      </c>
      <c r="N3" s="6">
        <v>3.25</v>
      </c>
      <c r="O3" s="33">
        <v>1.9</v>
      </c>
      <c r="P3" s="29" t="s">
        <v>44</v>
      </c>
      <c r="Q3" s="6">
        <v>0.2</v>
      </c>
      <c r="R3" s="6">
        <v>1.3</v>
      </c>
    </row>
    <row r="4" spans="1:18" x14ac:dyDescent="0.45">
      <c r="A4" s="7" t="s">
        <v>5</v>
      </c>
      <c r="B4" s="2">
        <v>-1.0999999999999999E-2</v>
      </c>
      <c r="C4" s="3">
        <f>$B$2-B4</f>
        <v>-1.9E-2</v>
      </c>
      <c r="D4" s="1"/>
      <c r="E4" s="6" t="str">
        <f>A4</f>
        <v>Auto &amp; Truck Dealerships</v>
      </c>
      <c r="F4" s="4">
        <v>4.5100000000000001E-2</v>
      </c>
      <c r="G4" s="36">
        <f>$F$2-F4</f>
        <v>0.22059999999999999</v>
      </c>
      <c r="H4" s="28"/>
      <c r="I4" s="37" t="s">
        <v>39</v>
      </c>
      <c r="J4" s="30">
        <v>7.5999999999999998E-2</v>
      </c>
      <c r="K4" s="30">
        <v>5.5E-2</v>
      </c>
      <c r="L4" s="31"/>
      <c r="P4" s="29" t="s">
        <v>45</v>
      </c>
      <c r="Q4" s="6">
        <f>390.4/100</f>
        <v>3.9039999999999999</v>
      </c>
      <c r="R4" s="6">
        <f>146.1/100</f>
        <v>1.4609999999999999</v>
      </c>
    </row>
    <row r="5" spans="1:18" x14ac:dyDescent="0.45">
      <c r="A5" s="7" t="s">
        <v>2</v>
      </c>
      <c r="B5" s="2">
        <v>7.9000000000000001E-2</v>
      </c>
      <c r="C5" s="3">
        <f>$B$2-B5</f>
        <v>-0.109</v>
      </c>
      <c r="D5" s="1"/>
      <c r="E5" s="6" t="str">
        <f>A5</f>
        <v>S&amp;P 500</v>
      </c>
      <c r="F5" s="4">
        <v>0.18640000000000001</v>
      </c>
      <c r="G5" s="5">
        <f>$F$2-F5</f>
        <v>7.9299999999999982E-2</v>
      </c>
      <c r="H5" s="28"/>
    </row>
    <row r="7" spans="1:18" ht="57.75" customHeight="1" x14ac:dyDescent="0.4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209c82-2feb-45bd-a0e7-3e202afe4ab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3AB248D35724D95A3DA43552B68A5" ma:contentTypeVersion="16" ma:contentTypeDescription="Create a new document." ma:contentTypeScope="" ma:versionID="ed139d9868ab73ee5854728fdba477eb">
  <xsd:schema xmlns:xsd="http://www.w3.org/2001/XMLSchema" xmlns:xs="http://www.w3.org/2001/XMLSchema" xmlns:p="http://schemas.microsoft.com/office/2006/metadata/properties" xmlns:ns3="d6d9856f-84c6-4dac-a945-d7a4fc5cbeeb" xmlns:ns4="9b209c82-2feb-45bd-a0e7-3e202afe4ab7" targetNamespace="http://schemas.microsoft.com/office/2006/metadata/properties" ma:root="true" ma:fieldsID="c011495b67f04a08876fab2f031ab397" ns3:_="" ns4:_="">
    <xsd:import namespace="d6d9856f-84c6-4dac-a945-d7a4fc5cbeeb"/>
    <xsd:import namespace="9b209c82-2feb-45bd-a0e7-3e202afe4ab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9856f-84c6-4dac-a945-d7a4fc5cbe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09c82-2feb-45bd-a0e7-3e202afe4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6C82FF-718B-4958-97CC-08189C161960}">
  <ds:schemaRefs>
    <ds:schemaRef ds:uri="d6d9856f-84c6-4dac-a945-d7a4fc5cbeeb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9b209c82-2feb-45bd-a0e7-3e202afe4ab7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49AB925-F417-4D80-B428-3D574246A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d9856f-84c6-4dac-a945-d7a4fc5cbeeb"/>
    <ds:schemaRef ds:uri="9b209c82-2feb-45bd-a0e7-3e202afe4a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C499D1-3BA3-4EE4-8D39-AE7671028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Trailing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Romario Estrada</dc:creator>
  <cp:lastModifiedBy>Medel-Estrada, Romario I</cp:lastModifiedBy>
  <dcterms:created xsi:type="dcterms:W3CDTF">2025-10-16T19:46:18Z</dcterms:created>
  <dcterms:modified xsi:type="dcterms:W3CDTF">2025-11-01T19:31:47Z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0x01010069A3AB248D35724D95A3DA43552B68A5</vt:lpwstr>
  </property>
</Properties>
</file>